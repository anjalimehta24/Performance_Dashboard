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sers\DELL\Desktop\"/>
    </mc:Choice>
  </mc:AlternateContent>
  <xr:revisionPtr revIDLastSave="0" documentId="8_{996C93E0-DAEF-4721-94D2-41B9089F45FB}" xr6:coauthVersionLast="47" xr6:coauthVersionMax="47" xr10:uidLastSave="{00000000-0000-0000-0000-000000000000}"/>
  <bookViews>
    <workbookView xWindow="-120" yWindow="-120" windowWidth="20730" windowHeight="11160" activeTab="2" xr2:uid="{FA8DB96E-8F14-43D5-B989-415C0DA630AE}"/>
  </bookViews>
  <sheets>
    <sheet name="Score" sheetId="1" r:id="rId1"/>
    <sheet name="Calculation" sheetId="2" r:id="rId2"/>
    <sheet name="Dashboard" sheetId="3" r:id="rId3"/>
  </sheets>
  <definedNames>
    <definedName name="Amit_Sharma">INDIRECT(Calculation!$C$2)</definedName>
    <definedName name="Green">Calculation!$E$7</definedName>
    <definedName name="Manish_Mittal">INDIRECT(Calculation!$C$5)</definedName>
    <definedName name="Rakesh_Verma">INDIRECT(Calculation!$C$4)</definedName>
    <definedName name="Red">Calculation!$G$7</definedName>
    <definedName name="Ritu_Singh">INDIRECT(Calculation!$C$3)</definedName>
    <definedName name="Yellow">Calculation!$F$7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" i="1" l="1"/>
  <c r="E2" i="2"/>
  <c r="C6" i="1"/>
  <c r="D6" i="1"/>
  <c r="E6" i="1"/>
  <c r="F6" i="1"/>
  <c r="G6" i="1"/>
  <c r="H6" i="1"/>
  <c r="I6" i="1"/>
  <c r="J6" i="1"/>
  <c r="K6" i="1"/>
  <c r="L6" i="1"/>
  <c r="M6" i="1"/>
  <c r="N6" i="1"/>
  <c r="N5" i="1"/>
  <c r="M5" i="1"/>
  <c r="L5" i="1"/>
  <c r="K5" i="1"/>
  <c r="J5" i="1"/>
  <c r="I5" i="1"/>
  <c r="H5" i="1"/>
  <c r="G5" i="1"/>
  <c r="F5" i="1"/>
  <c r="E5" i="1"/>
  <c r="D5" i="1"/>
  <c r="C5" i="1"/>
  <c r="N4" i="1"/>
  <c r="M4" i="1"/>
  <c r="L4" i="1"/>
  <c r="K4" i="1"/>
  <c r="J4" i="1"/>
  <c r="I4" i="1"/>
  <c r="H4" i="1"/>
  <c r="G4" i="1"/>
  <c r="F4" i="1"/>
  <c r="E4" i="1"/>
  <c r="D4" i="1"/>
  <c r="C4" i="1"/>
  <c r="N3" i="1"/>
  <c r="M3" i="1"/>
  <c r="L3" i="1"/>
  <c r="K3" i="1"/>
  <c r="J3" i="1"/>
  <c r="I3" i="1"/>
  <c r="H3" i="1"/>
  <c r="G3" i="1"/>
  <c r="F3" i="1"/>
  <c r="E3" i="1"/>
  <c r="D3" i="1"/>
  <c r="B2" i="2" l="1"/>
  <c r="C2" i="2" s="1"/>
  <c r="B3" i="2"/>
  <c r="C3" i="2" s="1"/>
  <c r="B5" i="2"/>
  <c r="C5" i="2" s="1"/>
  <c r="B4" i="2"/>
  <c r="C4" i="2" s="1"/>
</calcChain>
</file>

<file path=xl/sharedStrings.xml><?xml version="1.0" encoding="utf-8"?>
<sst xmlns="http://schemas.openxmlformats.org/spreadsheetml/2006/main" count="36" uniqueCount="30">
  <si>
    <t>Amit Sharma</t>
  </si>
  <si>
    <t>Ritu Singh</t>
  </si>
  <si>
    <t>Rakesh verma</t>
  </si>
  <si>
    <t>May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</si>
  <si>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</si>
  <si>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</si>
  <si>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</si>
  <si>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</si>
  <si>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</si>
  <si>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</si>
  <si>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</si>
  <si>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</si>
  <si>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</si>
  <si>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</si>
  <si>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Dec</t>
  </si>
  <si>
    <t>Manish Mittal</t>
  </si>
  <si>
    <t>Team Manager</t>
  </si>
  <si>
    <t>Color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</si>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</sst>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Tahoma"/>
      <family val="2"/>
    </font>
    <font>
      <sz val="11"/>
      <color theme="0"/>
      <name val="Tahoma"/>
      <family val="2"/>
    </font>
    <font>
      <sz val="11"/>
      <color theme="0"/>
      <name val="Adobe Gothic Std B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theme="6" tint="-0.499984740745262"/>
        <bgColor indexed="64"/>
      </patternFill>
    </fill>
  </fills>
  <borders count="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left" vertical="center" indent="1"/>
    </xf>
    <xf numFmtId="9" fontId="2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left" vertical="center" indent="1"/>
    </xf>
    <xf numFmtId="0" fontId="3" fillId="2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jpeg"/><Relationship Id="rId1" Type="http://schemas.openxmlformats.org/officeDocument/2006/relationships/image" Target="../media/image7.jpeg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10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4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6</xdr:row>
      <xdr:rowOff>190500</xdr:rowOff>
    </xdr:from>
    <xdr:to>
      <xdr:col>4</xdr:col>
      <xdr:colOff>1708150</xdr:colOff>
      <xdr:row>6</xdr:row>
      <xdr:rowOff>2232025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E7E0FA62-8E25-40D1-ABB5-117FE9007CA0}"/>
            </a:ext>
          </a:extLst>
        </xdr:cNvPr>
        <xdr:cNvGrpSpPr/>
      </xdr:nvGrpSpPr>
      <xdr:grpSpPr>
        <a:xfrm>
          <a:off x="4333875" y="1333500"/>
          <a:ext cx="1574800" cy="2041525"/>
          <a:chOff x="3594100" y="762000"/>
          <a:chExt cx="1574800" cy="2041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1E7A55CE-1398-404D-ADDF-AB1389BED93D}"/>
              </a:ext>
            </a:extLst>
          </xdr:cNvPr>
          <xdr:cNvGrpSpPr/>
        </xdr:nvGrpSpPr>
        <xdr:grpSpPr>
          <a:xfrm>
            <a:off x="3752850" y="1546225"/>
            <a:ext cx="1257300" cy="1257300"/>
            <a:chOff x="5603875" y="1266825"/>
            <a:chExt cx="1257300" cy="1257300"/>
          </a:xfrm>
          <a:scene3d>
            <a:camera prst="isometricOffAxis1Top"/>
            <a:lightRig rig="threePt" dir="t"/>
          </a:scene3d>
        </xdr:grpSpPr>
        <xdr:sp macro="" textlink="">
          <xdr:nvSpPr>
            <xdr:cNvPr id="2" name="Oval 1">
              <a:extLst>
                <a:ext uri="{FF2B5EF4-FFF2-40B4-BE49-F238E27FC236}">
                  <a16:creationId xmlns:a16="http://schemas.microsoft.com/office/drawing/2014/main" id="{B35F4C7D-4C0F-4EF4-A3A2-C85C3C56FD45}"/>
                </a:ext>
              </a:extLst>
            </xdr:cNvPr>
            <xdr:cNvSpPr/>
          </xdr:nvSpPr>
          <xdr:spPr>
            <a:xfrm>
              <a:off x="5603875" y="1266825"/>
              <a:ext cx="1257300" cy="1257300"/>
            </a:xfrm>
            <a:prstGeom prst="ellipse">
              <a:avLst/>
            </a:prstGeom>
            <a:gradFill flip="none" rotWithShape="1">
              <a:gsLst>
                <a:gs pos="0">
                  <a:schemeClr val="bg1"/>
                </a:gs>
                <a:gs pos="74000">
                  <a:schemeClr val="tx1">
                    <a:lumMod val="75000"/>
                    <a:lumOff val="25000"/>
                  </a:schemeClr>
                </a:gs>
                <a:gs pos="83000">
                  <a:schemeClr val="bg1">
                    <a:lumMod val="50000"/>
                  </a:schemeClr>
                </a:gs>
                <a:gs pos="100000">
                  <a:schemeClr val="tx1"/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165100" dist="38100" dir="5400000" sx="105000" sy="105000" algn="t" rotWithShape="0">
                <a:prstClr val="black">
                  <a:alpha val="40000"/>
                </a:prstClr>
              </a:outerShdw>
            </a:effectLst>
            <a:sp3d extrusionH="190500">
              <a:bevelT prst="convex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3" name="Oval 2">
              <a:extLst>
                <a:ext uri="{FF2B5EF4-FFF2-40B4-BE49-F238E27FC236}">
                  <a16:creationId xmlns:a16="http://schemas.microsoft.com/office/drawing/2014/main" id="{58E30C05-19F1-4A93-86A4-A36AAF11CC39}"/>
                </a:ext>
              </a:extLst>
            </xdr:cNvPr>
            <xdr:cNvSpPr/>
          </xdr:nvSpPr>
          <xdr:spPr>
            <a:xfrm>
              <a:off x="5810250" y="1473200"/>
              <a:ext cx="844550" cy="844550"/>
            </a:xfrm>
            <a:prstGeom prst="ellipse">
              <a:avLst/>
            </a:prstGeom>
            <a:solidFill>
              <a:srgbClr val="00B05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sp macro="" textlink="">
        <xdr:nvSpPr>
          <xdr:cNvPr id="5" name="Trapezoid 4">
            <a:extLst>
              <a:ext uri="{FF2B5EF4-FFF2-40B4-BE49-F238E27FC236}">
                <a16:creationId xmlns:a16="http://schemas.microsoft.com/office/drawing/2014/main" id="{FAF06484-D7A3-4536-B236-DE7ED38C02EE}"/>
              </a:ext>
            </a:extLst>
          </xdr:cNvPr>
          <xdr:cNvSpPr/>
        </xdr:nvSpPr>
        <xdr:spPr>
          <a:xfrm flipV="1">
            <a:off x="3594100" y="762000"/>
            <a:ext cx="1574800" cy="1413002"/>
          </a:xfrm>
          <a:prstGeom prst="trapezoid">
            <a:avLst/>
          </a:prstGeom>
          <a:gradFill flip="none" rotWithShape="1">
            <a:gsLst>
              <a:gs pos="0">
                <a:srgbClr val="00B050">
                  <a:alpha val="60000"/>
                </a:srgbClr>
              </a:gs>
              <a:gs pos="33000">
                <a:srgbClr val="00B050">
                  <a:alpha val="40000"/>
                </a:srgbClr>
              </a:gs>
              <a:gs pos="66000">
                <a:srgbClr val="00B050">
                  <a:alpha val="20000"/>
                </a:srgbClr>
              </a:gs>
              <a:gs pos="100000">
                <a:srgbClr val="00B050"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5</xdr:col>
      <xdr:colOff>133350</xdr:colOff>
      <xdr:row>6</xdr:row>
      <xdr:rowOff>190500</xdr:rowOff>
    </xdr:from>
    <xdr:to>
      <xdr:col>5</xdr:col>
      <xdr:colOff>1708150</xdr:colOff>
      <xdr:row>6</xdr:row>
      <xdr:rowOff>2232025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9E82AB8C-1099-428F-AD41-C4F519A68348}"/>
            </a:ext>
          </a:extLst>
        </xdr:cNvPr>
        <xdr:cNvGrpSpPr/>
      </xdr:nvGrpSpPr>
      <xdr:grpSpPr>
        <a:xfrm>
          <a:off x="6162675" y="1333500"/>
          <a:ext cx="1574800" cy="2041525"/>
          <a:chOff x="3594100" y="762000"/>
          <a:chExt cx="1574800" cy="2041525"/>
        </a:xfrm>
      </xdr:grpSpPr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A52DFDAE-C1B9-4334-AB9F-CE54A75547E3}"/>
              </a:ext>
            </a:extLst>
          </xdr:cNvPr>
          <xdr:cNvGrpSpPr/>
        </xdr:nvGrpSpPr>
        <xdr:grpSpPr>
          <a:xfrm>
            <a:off x="3752850" y="1546225"/>
            <a:ext cx="1257300" cy="1257300"/>
            <a:chOff x="5603875" y="1266825"/>
            <a:chExt cx="1257300" cy="1257300"/>
          </a:xfrm>
          <a:scene3d>
            <a:camera prst="isometricOffAxis1Top"/>
            <a:lightRig rig="threePt" dir="t"/>
          </a:scene3d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B0005FB2-48EE-4DE8-8E0B-FE4AA2CFB8A7}"/>
                </a:ext>
              </a:extLst>
            </xdr:cNvPr>
            <xdr:cNvSpPr/>
          </xdr:nvSpPr>
          <xdr:spPr>
            <a:xfrm>
              <a:off x="5603875" y="1266825"/>
              <a:ext cx="1257300" cy="1257300"/>
            </a:xfrm>
            <a:prstGeom prst="ellipse">
              <a:avLst/>
            </a:prstGeom>
            <a:gradFill flip="none" rotWithShape="1">
              <a:gsLst>
                <a:gs pos="0">
                  <a:schemeClr val="bg1"/>
                </a:gs>
                <a:gs pos="74000">
                  <a:schemeClr val="tx1">
                    <a:lumMod val="75000"/>
                    <a:lumOff val="25000"/>
                  </a:schemeClr>
                </a:gs>
                <a:gs pos="83000">
                  <a:schemeClr val="bg1">
                    <a:lumMod val="50000"/>
                  </a:schemeClr>
                </a:gs>
                <a:gs pos="100000">
                  <a:schemeClr val="tx1"/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165100" dist="38100" dir="5400000" sx="105000" sy="105000" algn="t" rotWithShape="0">
                <a:prstClr val="black">
                  <a:alpha val="40000"/>
                </a:prstClr>
              </a:outerShdw>
            </a:effectLst>
            <a:sp3d extrusionH="190500">
              <a:bevelT prst="convex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1" name="Oval 10">
              <a:extLst>
                <a:ext uri="{FF2B5EF4-FFF2-40B4-BE49-F238E27FC236}">
                  <a16:creationId xmlns:a16="http://schemas.microsoft.com/office/drawing/2014/main" id="{9458C9FB-CC50-4EFD-AED3-D206CD8D049D}"/>
                </a:ext>
              </a:extLst>
            </xdr:cNvPr>
            <xdr:cNvSpPr/>
          </xdr:nvSpPr>
          <xdr:spPr>
            <a:xfrm>
              <a:off x="5810250" y="1473200"/>
              <a:ext cx="844550" cy="844550"/>
            </a:xfrm>
            <a:prstGeom prst="ellipse">
              <a:avLst/>
            </a:prstGeom>
            <a:solidFill>
              <a:srgbClr val="FFFF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sp macro="" textlink="">
        <xdr:nvSpPr>
          <xdr:cNvPr id="9" name="Trapezoid 8">
            <a:extLst>
              <a:ext uri="{FF2B5EF4-FFF2-40B4-BE49-F238E27FC236}">
                <a16:creationId xmlns:a16="http://schemas.microsoft.com/office/drawing/2014/main" id="{296B8A0D-46B9-4E0B-AB38-746B94B2B7F3}"/>
              </a:ext>
            </a:extLst>
          </xdr:cNvPr>
          <xdr:cNvSpPr/>
        </xdr:nvSpPr>
        <xdr:spPr>
          <a:xfrm flipV="1">
            <a:off x="3594100" y="762000"/>
            <a:ext cx="1574800" cy="1413002"/>
          </a:xfrm>
          <a:prstGeom prst="trapezoid">
            <a:avLst/>
          </a:prstGeom>
          <a:gradFill flip="none" rotWithShape="1">
            <a:gsLst>
              <a:gs pos="0">
                <a:srgbClr val="FFFF00">
                  <a:alpha val="60000"/>
                </a:srgbClr>
              </a:gs>
              <a:gs pos="33000">
                <a:srgbClr val="FFFF00">
                  <a:alpha val="40000"/>
                </a:srgbClr>
              </a:gs>
              <a:gs pos="66000">
                <a:srgbClr val="FFFF00">
                  <a:alpha val="20000"/>
                </a:srgbClr>
              </a:gs>
              <a:gs pos="100000">
                <a:srgbClr val="FFFF00"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6</xdr:col>
      <xdr:colOff>133350</xdr:colOff>
      <xdr:row>6</xdr:row>
      <xdr:rowOff>190500</xdr:rowOff>
    </xdr:from>
    <xdr:to>
      <xdr:col>6</xdr:col>
      <xdr:colOff>1708150</xdr:colOff>
      <xdr:row>6</xdr:row>
      <xdr:rowOff>2232025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45A4027B-C0AF-434D-A57B-F1D71AC30558}"/>
            </a:ext>
          </a:extLst>
        </xdr:cNvPr>
        <xdr:cNvGrpSpPr/>
      </xdr:nvGrpSpPr>
      <xdr:grpSpPr>
        <a:xfrm>
          <a:off x="7991475" y="1333500"/>
          <a:ext cx="1574800" cy="2041525"/>
          <a:chOff x="3594100" y="762000"/>
          <a:chExt cx="1574800" cy="2041525"/>
        </a:xfrm>
      </xdr:grpSpPr>
      <xdr:grpSp>
        <xdr:nvGrpSpPr>
          <xdr:cNvPr id="13" name="Group 12">
            <a:extLst>
              <a:ext uri="{FF2B5EF4-FFF2-40B4-BE49-F238E27FC236}">
                <a16:creationId xmlns:a16="http://schemas.microsoft.com/office/drawing/2014/main" id="{98C79C5A-D604-4A0A-96CB-9699903FA70D}"/>
              </a:ext>
            </a:extLst>
          </xdr:cNvPr>
          <xdr:cNvGrpSpPr/>
        </xdr:nvGrpSpPr>
        <xdr:grpSpPr>
          <a:xfrm>
            <a:off x="3752850" y="1546225"/>
            <a:ext cx="1257300" cy="1257300"/>
            <a:chOff x="5603875" y="1266825"/>
            <a:chExt cx="1257300" cy="1257300"/>
          </a:xfrm>
          <a:scene3d>
            <a:camera prst="isometricOffAxis1Top"/>
            <a:lightRig rig="threePt" dir="t"/>
          </a:scene3d>
        </xdr:grpSpPr>
        <xdr:sp macro="" textlink="">
          <xdr:nvSpPr>
            <xdr:cNvPr id="15" name="Oval 14">
              <a:extLst>
                <a:ext uri="{FF2B5EF4-FFF2-40B4-BE49-F238E27FC236}">
                  <a16:creationId xmlns:a16="http://schemas.microsoft.com/office/drawing/2014/main" id="{A35F407F-9C35-4619-B9CC-3FBCCB94C678}"/>
                </a:ext>
              </a:extLst>
            </xdr:cNvPr>
            <xdr:cNvSpPr/>
          </xdr:nvSpPr>
          <xdr:spPr>
            <a:xfrm>
              <a:off x="5603875" y="1266825"/>
              <a:ext cx="1257300" cy="1257300"/>
            </a:xfrm>
            <a:prstGeom prst="ellipse">
              <a:avLst/>
            </a:prstGeom>
            <a:gradFill flip="none" rotWithShape="1">
              <a:gsLst>
                <a:gs pos="0">
                  <a:schemeClr val="bg1"/>
                </a:gs>
                <a:gs pos="74000">
                  <a:schemeClr val="tx1">
                    <a:lumMod val="75000"/>
                    <a:lumOff val="25000"/>
                  </a:schemeClr>
                </a:gs>
                <a:gs pos="83000">
                  <a:schemeClr val="bg1">
                    <a:lumMod val="50000"/>
                  </a:schemeClr>
                </a:gs>
                <a:gs pos="100000">
                  <a:schemeClr val="tx1"/>
                </a:gs>
              </a:gsLst>
              <a:lin ang="5400000" scaled="1"/>
              <a:tileRect/>
            </a:gradFill>
            <a:ln>
              <a:noFill/>
            </a:ln>
            <a:effectLst>
              <a:outerShdw blurRad="165100" dist="38100" dir="5400000" sx="105000" sy="105000" algn="t" rotWithShape="0">
                <a:prstClr val="black">
                  <a:alpha val="40000"/>
                </a:prstClr>
              </a:outerShdw>
            </a:effectLst>
            <a:sp3d extrusionH="190500">
              <a:bevelT prst="convex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  <xdr:sp macro="" textlink="">
          <xdr:nvSpPr>
            <xdr:cNvPr id="16" name="Oval 15">
              <a:extLst>
                <a:ext uri="{FF2B5EF4-FFF2-40B4-BE49-F238E27FC236}">
                  <a16:creationId xmlns:a16="http://schemas.microsoft.com/office/drawing/2014/main" id="{1AC81050-B05D-4C38-BC83-156B0162DFC1}"/>
                </a:ext>
              </a:extLst>
            </xdr:cNvPr>
            <xdr:cNvSpPr/>
          </xdr:nvSpPr>
          <xdr:spPr>
            <a:xfrm>
              <a:off x="5810250" y="1473200"/>
              <a:ext cx="844550" cy="844550"/>
            </a:xfrm>
            <a:prstGeom prst="ellipse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IN" sz="1100"/>
            </a:p>
          </xdr:txBody>
        </xdr:sp>
      </xdr:grpSp>
      <xdr:sp macro="" textlink="">
        <xdr:nvSpPr>
          <xdr:cNvPr id="14" name="Trapezoid 13">
            <a:extLst>
              <a:ext uri="{FF2B5EF4-FFF2-40B4-BE49-F238E27FC236}">
                <a16:creationId xmlns:a16="http://schemas.microsoft.com/office/drawing/2014/main" id="{5261CB2A-48F8-4810-98E7-DAE09A335669}"/>
              </a:ext>
            </a:extLst>
          </xdr:cNvPr>
          <xdr:cNvSpPr/>
        </xdr:nvSpPr>
        <xdr:spPr>
          <a:xfrm flipV="1">
            <a:off x="3594100" y="762000"/>
            <a:ext cx="1574800" cy="1413002"/>
          </a:xfrm>
          <a:prstGeom prst="trapezoid">
            <a:avLst/>
          </a:prstGeom>
          <a:gradFill flip="none" rotWithShape="1">
            <a:gsLst>
              <a:gs pos="0">
                <a:srgbClr val="FF0000">
                  <a:alpha val="60000"/>
                </a:srgbClr>
              </a:gs>
              <a:gs pos="33000">
                <a:srgbClr val="FF0000">
                  <a:alpha val="40000"/>
                </a:srgbClr>
              </a:gs>
              <a:gs pos="66000">
                <a:srgbClr val="FF0000">
                  <a:alpha val="20000"/>
                </a:srgbClr>
              </a:gs>
              <a:gs pos="100000">
                <a:srgbClr val="FF0000">
                  <a:alpha val="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 editAs="oneCell">
    <xdr:from>
      <xdr:col>5</xdr:col>
      <xdr:colOff>615950</xdr:colOff>
      <xdr:row>6</xdr:row>
      <xdr:rowOff>1073150</xdr:rowOff>
    </xdr:from>
    <xdr:to>
      <xdr:col>5</xdr:col>
      <xdr:colOff>1155950</xdr:colOff>
      <xdr:row>6</xdr:row>
      <xdr:rowOff>1613150</xdr:rowOff>
    </xdr:to>
    <xdr:pic>
      <xdr:nvPicPr>
        <xdr:cNvPr id="18" name="Graphic 17" descr="Man with solid fill">
          <a:extLst>
            <a:ext uri="{FF2B5EF4-FFF2-40B4-BE49-F238E27FC236}">
              <a16:creationId xmlns:a16="http://schemas.microsoft.com/office/drawing/2014/main" id="{082FC966-FE75-4C62-9D4B-79A71E9AC9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896100" y="21780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670700</xdr:colOff>
      <xdr:row>6</xdr:row>
      <xdr:rowOff>1134250</xdr:rowOff>
    </xdr:from>
    <xdr:to>
      <xdr:col>6</xdr:col>
      <xdr:colOff>1210700</xdr:colOff>
      <xdr:row>6</xdr:row>
      <xdr:rowOff>1674250</xdr:rowOff>
    </xdr:to>
    <xdr:pic>
      <xdr:nvPicPr>
        <xdr:cNvPr id="20" name="Graphic 19" descr="Person in wheelchair with solid fill">
          <a:extLst>
            <a:ext uri="{FF2B5EF4-FFF2-40B4-BE49-F238E27FC236}">
              <a16:creationId xmlns:a16="http://schemas.microsoft.com/office/drawing/2014/main" id="{F07FDDD1-EC2F-48CA-B083-38C65423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62200" y="2239150"/>
          <a:ext cx="540000" cy="540000"/>
        </a:xfrm>
        <a:prstGeom prst="rect">
          <a:avLst/>
        </a:prstGeom>
      </xdr:spPr>
    </xdr:pic>
    <xdr:clientData/>
  </xdr:twoCellAnchor>
  <xdr:twoCellAnchor editAs="oneCell">
    <xdr:from>
      <xdr:col>4</xdr:col>
      <xdr:colOff>636550</xdr:colOff>
      <xdr:row>6</xdr:row>
      <xdr:rowOff>1131850</xdr:rowOff>
    </xdr:from>
    <xdr:to>
      <xdr:col>4</xdr:col>
      <xdr:colOff>1176550</xdr:colOff>
      <xdr:row>6</xdr:row>
      <xdr:rowOff>1671850</xdr:rowOff>
    </xdr:to>
    <xdr:pic>
      <xdr:nvPicPr>
        <xdr:cNvPr id="22" name="Graphic 21" descr="Run with solid fill">
          <a:extLst>
            <a:ext uri="{FF2B5EF4-FFF2-40B4-BE49-F238E27FC236}">
              <a16:creationId xmlns:a16="http://schemas.microsoft.com/office/drawing/2014/main" id="{76795B16-06D4-4E55-BD62-9808A8EF8F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005350" y="2236750"/>
          <a:ext cx="540000" cy="54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44450</xdr:colOff>
      <xdr:row>2</xdr:row>
      <xdr:rowOff>69850</xdr:rowOff>
    </xdr:from>
    <xdr:to>
      <xdr:col>14</xdr:col>
      <xdr:colOff>596900</xdr:colOff>
      <xdr:row>16</xdr:row>
      <xdr:rowOff>127000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BC2759A3-44AD-49D7-A3C4-DF6E56919A28}"/>
            </a:ext>
          </a:extLst>
        </xdr:cNvPr>
        <xdr:cNvSpPr/>
      </xdr:nvSpPr>
      <xdr:spPr>
        <a:xfrm>
          <a:off x="1873250" y="546100"/>
          <a:ext cx="7677150" cy="2635250"/>
        </a:xfrm>
        <a:prstGeom prst="rect">
          <a:avLst/>
        </a:prstGeom>
        <a:blipFill>
          <a:blip xmlns:r="http://schemas.openxmlformats.org/officeDocument/2006/relationships" r:embed="rId1">
            <a:alphaModFix amt="70000"/>
          </a:blip>
          <a:tile tx="0" ty="0" sx="100000" sy="100000" flip="none" algn="tl"/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482600</xdr:colOff>
      <xdr:row>2</xdr:row>
      <xdr:rowOff>63500</xdr:rowOff>
    </xdr:from>
    <xdr:to>
      <xdr:col>16</xdr:col>
      <xdr:colOff>82550</xdr:colOff>
      <xdr:row>35</xdr:row>
      <xdr:rowOff>101600</xdr:rowOff>
    </xdr:to>
    <xdr:grpSp>
      <xdr:nvGrpSpPr>
        <xdr:cNvPr id="39" name="Group 38">
          <a:extLst>
            <a:ext uri="{FF2B5EF4-FFF2-40B4-BE49-F238E27FC236}">
              <a16:creationId xmlns:a16="http://schemas.microsoft.com/office/drawing/2014/main" id="{D2C59E57-8072-41BB-A174-2686E9383379}"/>
            </a:ext>
          </a:extLst>
        </xdr:cNvPr>
        <xdr:cNvGrpSpPr/>
      </xdr:nvGrpSpPr>
      <xdr:grpSpPr>
        <a:xfrm>
          <a:off x="1092200" y="539750"/>
          <a:ext cx="8858250" cy="6324600"/>
          <a:chOff x="1403350" y="901700"/>
          <a:chExt cx="7632700" cy="3771900"/>
        </a:xfrm>
        <a:blipFill>
          <a:blip xmlns:r="http://schemas.openxmlformats.org/officeDocument/2006/relationships" r:embed="rId2"/>
          <a:tile tx="0" ty="0" sx="100000" sy="100000" flip="none" algn="tl"/>
        </a:blipFill>
        <a:scene3d>
          <a:camera prst="perspectiveRelaxed">
            <a:rot lat="16800000" lon="0" rev="0"/>
          </a:camera>
          <a:lightRig rig="threePt" dir="t"/>
        </a:scene3d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B565B0BE-C72F-426A-862A-D8F2353A0D6E}"/>
              </a:ext>
            </a:extLst>
          </xdr:cNvPr>
          <xdr:cNvSpPr/>
        </xdr:nvSpPr>
        <xdr:spPr>
          <a:xfrm>
            <a:off x="1403350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1BE99D4F-F957-4654-9B5C-85E22B40C9F3}"/>
              </a:ext>
            </a:extLst>
          </xdr:cNvPr>
          <xdr:cNvSpPr/>
        </xdr:nvSpPr>
        <xdr:spPr>
          <a:xfrm>
            <a:off x="2363107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66A0A1FC-DEBF-4804-ACC8-B2497D847941}"/>
              </a:ext>
            </a:extLst>
          </xdr:cNvPr>
          <xdr:cNvSpPr/>
        </xdr:nvSpPr>
        <xdr:spPr>
          <a:xfrm>
            <a:off x="3322864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A2488A46-C5A4-41F1-B0F2-D8A363F06D2D}"/>
              </a:ext>
            </a:extLst>
          </xdr:cNvPr>
          <xdr:cNvSpPr/>
        </xdr:nvSpPr>
        <xdr:spPr>
          <a:xfrm>
            <a:off x="4282621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E48A1E55-6B9D-466E-86E4-97BF0E0EBB26}"/>
              </a:ext>
            </a:extLst>
          </xdr:cNvPr>
          <xdr:cNvSpPr/>
        </xdr:nvSpPr>
        <xdr:spPr>
          <a:xfrm>
            <a:off x="5242378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2D36C54A-CB74-4CED-B604-BB668629D8F3}"/>
              </a:ext>
            </a:extLst>
          </xdr:cNvPr>
          <xdr:cNvSpPr/>
        </xdr:nvSpPr>
        <xdr:spPr>
          <a:xfrm>
            <a:off x="6202135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3B735813-7EE6-447A-8D41-1EE7B1B1B2EE}"/>
              </a:ext>
            </a:extLst>
          </xdr:cNvPr>
          <xdr:cNvSpPr/>
        </xdr:nvSpPr>
        <xdr:spPr>
          <a:xfrm>
            <a:off x="7161892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BFDAF16C-4CD5-4353-8F05-77A6E72B23E1}"/>
              </a:ext>
            </a:extLst>
          </xdr:cNvPr>
          <xdr:cNvSpPr/>
        </xdr:nvSpPr>
        <xdr:spPr>
          <a:xfrm>
            <a:off x="8121650" y="9017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87762E6B-BF34-4E87-BF86-F20183A657F4}"/>
              </a:ext>
            </a:extLst>
          </xdr:cNvPr>
          <xdr:cNvSpPr/>
        </xdr:nvSpPr>
        <xdr:spPr>
          <a:xfrm>
            <a:off x="1403350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D785B878-BB5F-4519-B3F1-6BC83FD12527}"/>
              </a:ext>
            </a:extLst>
          </xdr:cNvPr>
          <xdr:cNvSpPr/>
        </xdr:nvSpPr>
        <xdr:spPr>
          <a:xfrm>
            <a:off x="2363107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DFF2E13-A019-4C20-8D07-D72DB1311D91}"/>
              </a:ext>
            </a:extLst>
          </xdr:cNvPr>
          <xdr:cNvSpPr/>
        </xdr:nvSpPr>
        <xdr:spPr>
          <a:xfrm>
            <a:off x="3322864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739072F3-4A0E-4F87-A870-76A53624F500}"/>
              </a:ext>
            </a:extLst>
          </xdr:cNvPr>
          <xdr:cNvSpPr/>
        </xdr:nvSpPr>
        <xdr:spPr>
          <a:xfrm>
            <a:off x="4282621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A532748E-B8C7-4CA6-A7FE-B149A14483EB}"/>
              </a:ext>
            </a:extLst>
          </xdr:cNvPr>
          <xdr:cNvSpPr/>
        </xdr:nvSpPr>
        <xdr:spPr>
          <a:xfrm>
            <a:off x="5242378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9384912-8108-4344-977A-E0AF20DB35BC}"/>
              </a:ext>
            </a:extLst>
          </xdr:cNvPr>
          <xdr:cNvSpPr/>
        </xdr:nvSpPr>
        <xdr:spPr>
          <a:xfrm>
            <a:off x="6202135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60B5C5A3-A0A5-431E-BA93-DE53C48252CC}"/>
              </a:ext>
            </a:extLst>
          </xdr:cNvPr>
          <xdr:cNvSpPr/>
        </xdr:nvSpPr>
        <xdr:spPr>
          <a:xfrm>
            <a:off x="7161892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7B027C32-24FA-4C5D-8309-5A75731B2F84}"/>
              </a:ext>
            </a:extLst>
          </xdr:cNvPr>
          <xdr:cNvSpPr/>
        </xdr:nvSpPr>
        <xdr:spPr>
          <a:xfrm>
            <a:off x="8121650" y="18605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3" name="Rectangle 22">
            <a:extLst>
              <a:ext uri="{FF2B5EF4-FFF2-40B4-BE49-F238E27FC236}">
                <a16:creationId xmlns:a16="http://schemas.microsoft.com/office/drawing/2014/main" id="{1011E2EE-5CAE-4A46-89B4-EAB54BCF7804}"/>
              </a:ext>
            </a:extLst>
          </xdr:cNvPr>
          <xdr:cNvSpPr/>
        </xdr:nvSpPr>
        <xdr:spPr>
          <a:xfrm>
            <a:off x="1403350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4" name="Rectangle 23">
            <a:extLst>
              <a:ext uri="{FF2B5EF4-FFF2-40B4-BE49-F238E27FC236}">
                <a16:creationId xmlns:a16="http://schemas.microsoft.com/office/drawing/2014/main" id="{60867096-49C7-4277-8B9D-1E0DB4FA5F90}"/>
              </a:ext>
            </a:extLst>
          </xdr:cNvPr>
          <xdr:cNvSpPr/>
        </xdr:nvSpPr>
        <xdr:spPr>
          <a:xfrm>
            <a:off x="2363107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68E2BCE1-BE6F-4163-B235-1909B5318BA2}"/>
              </a:ext>
            </a:extLst>
          </xdr:cNvPr>
          <xdr:cNvSpPr/>
        </xdr:nvSpPr>
        <xdr:spPr>
          <a:xfrm>
            <a:off x="3322864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6" name="Rectangle 25">
            <a:extLst>
              <a:ext uri="{FF2B5EF4-FFF2-40B4-BE49-F238E27FC236}">
                <a16:creationId xmlns:a16="http://schemas.microsoft.com/office/drawing/2014/main" id="{6F9F48AC-FE42-4C6C-A6E2-06E2958D6E71}"/>
              </a:ext>
            </a:extLst>
          </xdr:cNvPr>
          <xdr:cNvSpPr/>
        </xdr:nvSpPr>
        <xdr:spPr>
          <a:xfrm>
            <a:off x="4282621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7" name="Rectangle 26">
            <a:extLst>
              <a:ext uri="{FF2B5EF4-FFF2-40B4-BE49-F238E27FC236}">
                <a16:creationId xmlns:a16="http://schemas.microsoft.com/office/drawing/2014/main" id="{9A74BC1F-923B-4C2E-8E18-B7B87499A6CC}"/>
              </a:ext>
            </a:extLst>
          </xdr:cNvPr>
          <xdr:cNvSpPr/>
        </xdr:nvSpPr>
        <xdr:spPr>
          <a:xfrm>
            <a:off x="5242378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8" name="Rectangle 27">
            <a:extLst>
              <a:ext uri="{FF2B5EF4-FFF2-40B4-BE49-F238E27FC236}">
                <a16:creationId xmlns:a16="http://schemas.microsoft.com/office/drawing/2014/main" id="{402C93C1-4E46-4283-A67C-4CD4E4A271C4}"/>
              </a:ext>
            </a:extLst>
          </xdr:cNvPr>
          <xdr:cNvSpPr/>
        </xdr:nvSpPr>
        <xdr:spPr>
          <a:xfrm>
            <a:off x="6202135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9" name="Rectangle 28">
            <a:extLst>
              <a:ext uri="{FF2B5EF4-FFF2-40B4-BE49-F238E27FC236}">
                <a16:creationId xmlns:a16="http://schemas.microsoft.com/office/drawing/2014/main" id="{1A61AD82-A913-4051-A5B9-B898C9256CAC}"/>
              </a:ext>
            </a:extLst>
          </xdr:cNvPr>
          <xdr:cNvSpPr/>
        </xdr:nvSpPr>
        <xdr:spPr>
          <a:xfrm>
            <a:off x="7161892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C5B95976-9B22-4CB4-94B0-279EF4435BF1}"/>
              </a:ext>
            </a:extLst>
          </xdr:cNvPr>
          <xdr:cNvSpPr/>
        </xdr:nvSpPr>
        <xdr:spPr>
          <a:xfrm>
            <a:off x="8121650" y="280035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3DB90E6E-AB5D-4E62-BE88-2A75F13148E5}"/>
              </a:ext>
            </a:extLst>
          </xdr:cNvPr>
          <xdr:cNvSpPr/>
        </xdr:nvSpPr>
        <xdr:spPr>
          <a:xfrm>
            <a:off x="1403350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1AA8AA38-DE21-48D0-A4BF-974CB5A9E501}"/>
              </a:ext>
            </a:extLst>
          </xdr:cNvPr>
          <xdr:cNvSpPr/>
        </xdr:nvSpPr>
        <xdr:spPr>
          <a:xfrm>
            <a:off x="2363107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3" name="Rectangle 32">
            <a:extLst>
              <a:ext uri="{FF2B5EF4-FFF2-40B4-BE49-F238E27FC236}">
                <a16:creationId xmlns:a16="http://schemas.microsoft.com/office/drawing/2014/main" id="{9C8BC3F3-A10A-4808-8167-89EC2ECD3A18}"/>
              </a:ext>
            </a:extLst>
          </xdr:cNvPr>
          <xdr:cNvSpPr/>
        </xdr:nvSpPr>
        <xdr:spPr>
          <a:xfrm>
            <a:off x="3322864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8036DDFF-BC77-4EEB-8A56-4DBEFB59B167}"/>
              </a:ext>
            </a:extLst>
          </xdr:cNvPr>
          <xdr:cNvSpPr/>
        </xdr:nvSpPr>
        <xdr:spPr>
          <a:xfrm>
            <a:off x="4282621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7E238770-BC9E-419C-A7D8-319D57CA9BE2}"/>
              </a:ext>
            </a:extLst>
          </xdr:cNvPr>
          <xdr:cNvSpPr/>
        </xdr:nvSpPr>
        <xdr:spPr>
          <a:xfrm>
            <a:off x="5242378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C5E4618A-3F4B-474E-B3FB-1DA68884592D}"/>
              </a:ext>
            </a:extLst>
          </xdr:cNvPr>
          <xdr:cNvSpPr/>
        </xdr:nvSpPr>
        <xdr:spPr>
          <a:xfrm>
            <a:off x="6202135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8198A658-2746-4245-BAC7-43FB44233BC8}"/>
              </a:ext>
            </a:extLst>
          </xdr:cNvPr>
          <xdr:cNvSpPr/>
        </xdr:nvSpPr>
        <xdr:spPr>
          <a:xfrm>
            <a:off x="7161892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38" name="Rectangle 37">
            <a:extLst>
              <a:ext uri="{FF2B5EF4-FFF2-40B4-BE49-F238E27FC236}">
                <a16:creationId xmlns:a16="http://schemas.microsoft.com/office/drawing/2014/main" id="{A501FBF1-44EA-4B38-9860-51335EB545D0}"/>
              </a:ext>
            </a:extLst>
          </xdr:cNvPr>
          <xdr:cNvSpPr/>
        </xdr:nvSpPr>
        <xdr:spPr>
          <a:xfrm>
            <a:off x="8121650" y="3759200"/>
            <a:ext cx="914400" cy="9144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</xdr:grpSp>
    <xdr:clientData/>
  </xdr:twoCellAnchor>
  <xdr:twoCellAnchor>
    <xdr:from>
      <xdr:col>3</xdr:col>
      <xdr:colOff>139700</xdr:colOff>
      <xdr:row>9</xdr:row>
      <xdr:rowOff>63500</xdr:rowOff>
    </xdr:from>
    <xdr:to>
      <xdr:col>6</xdr:col>
      <xdr:colOff>114300</xdr:colOff>
      <xdr:row>21</xdr:row>
      <xdr:rowOff>101600</xdr:rowOff>
    </xdr:to>
    <xdr:grpSp>
      <xdr:nvGrpSpPr>
        <xdr:cNvPr id="49" name="Group 48">
          <a:extLst>
            <a:ext uri="{FF2B5EF4-FFF2-40B4-BE49-F238E27FC236}">
              <a16:creationId xmlns:a16="http://schemas.microsoft.com/office/drawing/2014/main" id="{EB077986-E8AF-4E84-8D53-A484996E9C9E}"/>
            </a:ext>
          </a:extLst>
        </xdr:cNvPr>
        <xdr:cNvGrpSpPr/>
      </xdr:nvGrpSpPr>
      <xdr:grpSpPr>
        <a:xfrm>
          <a:off x="1968500" y="1873250"/>
          <a:ext cx="1831975" cy="2324100"/>
          <a:chOff x="1968500" y="1828800"/>
          <a:chExt cx="1917700" cy="224790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3" name="Picture 2">
                <a:extLst>
                  <a:ext uri="{FF2B5EF4-FFF2-40B4-BE49-F238E27FC236}">
                    <a16:creationId xmlns:a16="http://schemas.microsoft.com/office/drawing/2014/main" id="{2516F140-9C8E-432D-B0EC-2CBC9FEB4E2B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Amit_Sharma" spid="_x0000_s3112"/>
                  </a:ext>
                </a:extLst>
              </xdr:cNvPicPr>
            </xdr:nvPicPr>
            <xdr:blipFill>
              <a:blip xmlns:r="http://schemas.openxmlformats.org/officeDocument/2006/relationships" r:embed="rId3"/>
              <a:srcRect/>
              <a:stretch>
                <a:fillRect/>
              </a:stretch>
            </xdr:blipFill>
            <xdr:spPr bwMode="auto">
              <a:xfrm>
                <a:off x="1968500" y="1828800"/>
                <a:ext cx="1917700" cy="22479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Calculation!B2">
        <xdr:nvSpPr>
          <xdr:cNvPr id="45" name="TextBox 44">
            <a:extLst>
              <a:ext uri="{FF2B5EF4-FFF2-40B4-BE49-F238E27FC236}">
                <a16:creationId xmlns:a16="http://schemas.microsoft.com/office/drawing/2014/main" id="{1CA9A269-72E2-4FA6-A536-22A673F09933}"/>
              </a:ext>
            </a:extLst>
          </xdr:cNvPr>
          <xdr:cNvSpPr txBox="1"/>
        </xdr:nvSpPr>
        <xdr:spPr>
          <a:xfrm>
            <a:off x="2381250" y="2292350"/>
            <a:ext cx="10922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B94D032-D8F8-4BA3-B865-2133F665EE2C}" type="TxLink">
              <a:rPr lang="en-US" sz="2000" b="0" i="0" u="none" strike="noStrike">
                <a:solidFill>
                  <a:schemeClr val="tx2">
                    <a:lumMod val="75000"/>
                  </a:schemeClr>
                </a:solidFill>
                <a:latin typeface="Adobe Gothic Std B" panose="020B0800000000000000" pitchFamily="34" charset="-128"/>
                <a:ea typeface="Adobe Gothic Std B" panose="020B0800000000000000" pitchFamily="34" charset="-128"/>
                <a:cs typeface="Tahoma"/>
              </a:rPr>
              <a:pPr algn="ctr"/>
              <a:t>41%</a:t>
            </a:fld>
            <a:endParaRPr lang="en-IN" sz="2000">
              <a:solidFill>
                <a:schemeClr val="tx2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</a:endParaRPr>
          </a:p>
        </xdr:txBody>
      </xdr:sp>
    </xdr:grpSp>
    <xdr:clientData/>
  </xdr:twoCellAnchor>
  <xdr:twoCellAnchor>
    <xdr:from>
      <xdr:col>6</xdr:col>
      <xdr:colOff>78317</xdr:colOff>
      <xdr:row>9</xdr:row>
      <xdr:rowOff>63500</xdr:rowOff>
    </xdr:from>
    <xdr:to>
      <xdr:col>9</xdr:col>
      <xdr:colOff>52917</xdr:colOff>
      <xdr:row>21</xdr:row>
      <xdr:rowOff>101600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8ED4829D-CB88-49C3-8859-DCD20877EF44}"/>
            </a:ext>
          </a:extLst>
        </xdr:cNvPr>
        <xdr:cNvGrpSpPr/>
      </xdr:nvGrpSpPr>
      <xdr:grpSpPr>
        <a:xfrm>
          <a:off x="3764492" y="1873250"/>
          <a:ext cx="1831975" cy="2324100"/>
          <a:chOff x="3850217" y="1828800"/>
          <a:chExt cx="1917700" cy="224790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4" name="Picture 3">
                <a:extLst>
                  <a:ext uri="{FF2B5EF4-FFF2-40B4-BE49-F238E27FC236}">
                    <a16:creationId xmlns:a16="http://schemas.microsoft.com/office/drawing/2014/main" id="{7E27F27C-F8A0-4C5A-8A21-9CBD5FD67E0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Ritu_Singh" spid="_x0000_s3113"/>
                  </a:ext>
                </a:extLst>
              </xdr:cNvPicPr>
            </xdr:nvPicPr>
            <xdr:blipFill>
              <a:blip xmlns:r="http://schemas.openxmlformats.org/officeDocument/2006/relationships" r:embed="rId4"/>
              <a:srcRect/>
              <a:stretch>
                <a:fillRect/>
              </a:stretch>
            </xdr:blipFill>
            <xdr:spPr bwMode="auto">
              <a:xfrm>
                <a:off x="3850217" y="1828800"/>
                <a:ext cx="1917700" cy="22479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Calculation!B3">
        <xdr:nvSpPr>
          <xdr:cNvPr id="46" name="TextBox 45">
            <a:extLst>
              <a:ext uri="{FF2B5EF4-FFF2-40B4-BE49-F238E27FC236}">
                <a16:creationId xmlns:a16="http://schemas.microsoft.com/office/drawing/2014/main" id="{EF8195B5-79D2-4ADB-BAD1-A5FB41B51139}"/>
              </a:ext>
            </a:extLst>
          </xdr:cNvPr>
          <xdr:cNvSpPr txBox="1"/>
        </xdr:nvSpPr>
        <xdr:spPr>
          <a:xfrm>
            <a:off x="4262967" y="2292350"/>
            <a:ext cx="10922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557C1A5-026B-4026-90C1-BC0EEA0D74A9}" type="TxLink">
              <a:rPr lang="en-US" sz="2000" b="0" i="0" u="none" strike="noStrike">
                <a:solidFill>
                  <a:schemeClr val="tx2">
                    <a:lumMod val="75000"/>
                  </a:schemeClr>
                </a:solidFill>
                <a:latin typeface="Adobe Gothic Std B" panose="020B0800000000000000" pitchFamily="34" charset="-128"/>
                <a:ea typeface="Adobe Gothic Std B" panose="020B0800000000000000" pitchFamily="34" charset="-128"/>
                <a:cs typeface="Tahoma"/>
              </a:rPr>
              <a:pPr marL="0" indent="0" algn="ctr"/>
              <a:t>99%</a:t>
            </a:fld>
            <a:endParaRPr lang="en-IN" sz="2000" b="0" i="0" u="none" strike="noStrike">
              <a:solidFill>
                <a:schemeClr val="tx2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  <a:cs typeface="Tahoma"/>
            </a:endParaRPr>
          </a:p>
        </xdr:txBody>
      </xdr:sp>
    </xdr:grpSp>
    <xdr:clientData/>
  </xdr:twoCellAnchor>
  <xdr:twoCellAnchor>
    <xdr:from>
      <xdr:col>9</xdr:col>
      <xdr:colOff>16934</xdr:colOff>
      <xdr:row>9</xdr:row>
      <xdr:rowOff>63500</xdr:rowOff>
    </xdr:from>
    <xdr:to>
      <xdr:col>11</xdr:col>
      <xdr:colOff>639234</xdr:colOff>
      <xdr:row>21</xdr:row>
      <xdr:rowOff>101600</xdr:rowOff>
    </xdr:to>
    <xdr:grpSp>
      <xdr:nvGrpSpPr>
        <xdr:cNvPr id="51" name="Group 50">
          <a:extLst>
            <a:ext uri="{FF2B5EF4-FFF2-40B4-BE49-F238E27FC236}">
              <a16:creationId xmlns:a16="http://schemas.microsoft.com/office/drawing/2014/main" id="{DC0F366B-DCE6-4B89-9756-439AA2528C8C}"/>
            </a:ext>
          </a:extLst>
        </xdr:cNvPr>
        <xdr:cNvGrpSpPr/>
      </xdr:nvGrpSpPr>
      <xdr:grpSpPr>
        <a:xfrm>
          <a:off x="5560484" y="1873250"/>
          <a:ext cx="1841500" cy="2324100"/>
          <a:chOff x="5731934" y="1828800"/>
          <a:chExt cx="1917700" cy="224790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5" name="Picture 4">
                <a:extLst>
                  <a:ext uri="{FF2B5EF4-FFF2-40B4-BE49-F238E27FC236}">
                    <a16:creationId xmlns:a16="http://schemas.microsoft.com/office/drawing/2014/main" id="{71C23674-CA27-43A5-B7B0-A5385C433367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Rakesh_Verma" spid="_x0000_s3114"/>
                  </a:ext>
                </a:extLst>
              </xdr:cNvPicPr>
            </xdr:nvPicPr>
            <xdr:blipFill>
              <a:blip xmlns:r="http://schemas.openxmlformats.org/officeDocument/2006/relationships" r:embed="rId5"/>
              <a:srcRect/>
              <a:stretch>
                <a:fillRect/>
              </a:stretch>
            </xdr:blipFill>
            <xdr:spPr bwMode="auto">
              <a:xfrm>
                <a:off x="5731934" y="1828800"/>
                <a:ext cx="1917700" cy="22479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Calculation!B4">
        <xdr:nvSpPr>
          <xdr:cNvPr id="47" name="TextBox 46">
            <a:extLst>
              <a:ext uri="{FF2B5EF4-FFF2-40B4-BE49-F238E27FC236}">
                <a16:creationId xmlns:a16="http://schemas.microsoft.com/office/drawing/2014/main" id="{08CB8D4D-6A9B-4CD8-BFA2-80C7F9EA81EF}"/>
              </a:ext>
            </a:extLst>
          </xdr:cNvPr>
          <xdr:cNvSpPr txBox="1"/>
        </xdr:nvSpPr>
        <xdr:spPr>
          <a:xfrm>
            <a:off x="6144684" y="2292350"/>
            <a:ext cx="10922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B7AFADF-C238-41E4-8F42-89B6230443D9}" type="TxLink">
              <a:rPr lang="en-US" sz="2000" b="0" i="0" u="none" strike="noStrike">
                <a:solidFill>
                  <a:schemeClr val="tx2">
                    <a:lumMod val="75000"/>
                  </a:schemeClr>
                </a:solidFill>
                <a:latin typeface="Adobe Gothic Std B" panose="020B0800000000000000" pitchFamily="34" charset="-128"/>
                <a:ea typeface="Adobe Gothic Std B" panose="020B0800000000000000" pitchFamily="34" charset="-128"/>
                <a:cs typeface="Tahoma"/>
              </a:rPr>
              <a:pPr marL="0" indent="0" algn="ctr"/>
              <a:t>44%</a:t>
            </a:fld>
            <a:endParaRPr lang="en-IN" sz="2000" b="0" i="0" u="none" strike="noStrike">
              <a:solidFill>
                <a:schemeClr val="tx2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  <a:cs typeface="Tahoma"/>
            </a:endParaRPr>
          </a:p>
        </xdr:txBody>
      </xdr:sp>
    </xdr:grpSp>
    <xdr:clientData/>
  </xdr:twoCellAnchor>
  <xdr:twoCellAnchor>
    <xdr:from>
      <xdr:col>11</xdr:col>
      <xdr:colOff>603250</xdr:colOff>
      <xdr:row>9</xdr:row>
      <xdr:rowOff>63500</xdr:rowOff>
    </xdr:from>
    <xdr:to>
      <xdr:col>14</xdr:col>
      <xdr:colOff>577850</xdr:colOff>
      <xdr:row>21</xdr:row>
      <xdr:rowOff>101600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1ACB8925-758D-4D09-AF44-6D6175BB86B4}"/>
            </a:ext>
          </a:extLst>
        </xdr:cNvPr>
        <xdr:cNvGrpSpPr/>
      </xdr:nvGrpSpPr>
      <xdr:grpSpPr>
        <a:xfrm>
          <a:off x="7385050" y="1873250"/>
          <a:ext cx="1831975" cy="2324100"/>
          <a:chOff x="7613650" y="1828800"/>
          <a:chExt cx="1917700" cy="2247900"/>
        </a:xfrm>
      </xdr:grpSpPr>
      <mc:AlternateContent xmlns:mc="http://schemas.openxmlformats.org/markup-compatibility/2006" xmlns:a14="http://schemas.microsoft.com/office/drawing/2010/main">
        <mc:Choice Requires="a14">
          <xdr:pic>
            <xdr:nvPicPr>
              <xdr:cNvPr id="6" name="Picture 5">
                <a:extLst>
                  <a:ext uri="{FF2B5EF4-FFF2-40B4-BE49-F238E27FC236}">
                    <a16:creationId xmlns:a16="http://schemas.microsoft.com/office/drawing/2014/main" id="{C77569FD-BFC5-4AD8-9E35-87DCAEF62F29}"/>
                  </a:ext>
                </a:extLst>
              </xdr:cNvPr>
              <xdr:cNvPicPr>
                <a:picLocks noChangeAspect="1" noChangeArrowheads="1"/>
                <a:extLst>
                  <a:ext uri="{84589F7E-364E-4C9E-8A38-B11213B215E9}">
                    <a14:cameraTool cellRange="Manish_Mittal" spid="_x0000_s3115"/>
                  </a:ext>
                </a:extLst>
              </xdr:cNvPicPr>
            </xdr:nvPicPr>
            <xdr:blipFill>
              <a:blip xmlns:r="http://schemas.openxmlformats.org/officeDocument/2006/relationships" r:embed="rId6"/>
              <a:srcRect/>
              <a:stretch>
                <a:fillRect/>
              </a:stretch>
            </xdr:blipFill>
            <xdr:spPr bwMode="auto">
              <a:xfrm>
                <a:off x="7613650" y="1828800"/>
                <a:ext cx="1917700" cy="2247900"/>
              </a:xfrm>
              <a:prstGeom prst="rect">
                <a:avLst/>
              </a:prstGeom>
              <a:noFill/>
              <a:extLst>
                <a:ext uri="{909E8E84-426E-40DD-AFC4-6F175D3DCCD1}">
                  <a14:hiddenFill>
                    <a:solidFill>
                      <a:srgbClr val="FFFFFF"/>
                    </a:solidFill>
                  </a14:hiddenFill>
                </a:ext>
              </a:extLst>
            </xdr:spPr>
          </xdr:pic>
        </mc:Choice>
        <mc:Fallback xmlns=""/>
      </mc:AlternateContent>
      <xdr:sp macro="" textlink="Calculation!B5">
        <xdr:nvSpPr>
          <xdr:cNvPr id="48" name="TextBox 47">
            <a:extLst>
              <a:ext uri="{FF2B5EF4-FFF2-40B4-BE49-F238E27FC236}">
                <a16:creationId xmlns:a16="http://schemas.microsoft.com/office/drawing/2014/main" id="{DC9754E7-B32B-495F-A209-4E43207EFCEC}"/>
              </a:ext>
            </a:extLst>
          </xdr:cNvPr>
          <xdr:cNvSpPr txBox="1"/>
        </xdr:nvSpPr>
        <xdr:spPr>
          <a:xfrm>
            <a:off x="8026400" y="2292350"/>
            <a:ext cx="1092200" cy="4699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6798969-9285-4407-8B8E-7A3583CF3899}" type="TxLink">
              <a:rPr lang="en-US" sz="2000" b="0" i="0" u="none" strike="noStrike">
                <a:solidFill>
                  <a:schemeClr val="tx2">
                    <a:lumMod val="75000"/>
                  </a:schemeClr>
                </a:solidFill>
                <a:latin typeface="Adobe Gothic Std B" panose="020B0800000000000000" pitchFamily="34" charset="-128"/>
                <a:ea typeface="Adobe Gothic Std B" panose="020B0800000000000000" pitchFamily="34" charset="-128"/>
                <a:cs typeface="Tahoma"/>
              </a:rPr>
              <a:pPr marL="0" indent="0" algn="ctr"/>
              <a:t>56%</a:t>
            </a:fld>
            <a:endParaRPr lang="en-IN" sz="2000" b="0" i="0" u="none" strike="noStrike">
              <a:solidFill>
                <a:schemeClr val="tx2">
                  <a:lumMod val="75000"/>
                </a:schemeClr>
              </a:solidFill>
              <a:latin typeface="Adobe Gothic Std B" panose="020B0800000000000000" pitchFamily="34" charset="-128"/>
              <a:ea typeface="Adobe Gothic Std B" panose="020B0800000000000000" pitchFamily="34" charset="-128"/>
              <a:cs typeface="Tahoma"/>
            </a:endParaRPr>
          </a:p>
        </xdr:txBody>
      </xdr:sp>
    </xdr:grpSp>
    <xdr:clientData/>
  </xdr:twoCellAnchor>
  <xdr:twoCellAnchor>
    <xdr:from>
      <xdr:col>3</xdr:col>
      <xdr:colOff>368300</xdr:colOff>
      <xdr:row>17</xdr:row>
      <xdr:rowOff>76200</xdr:rowOff>
    </xdr:from>
    <xdr:to>
      <xdr:col>5</xdr:col>
      <xdr:colOff>342900</xdr:colOff>
      <xdr:row>19</xdr:row>
      <xdr:rowOff>177800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ADBF08DE-AEA9-4537-8ED3-05394E0752C3}"/>
            </a:ext>
          </a:extLst>
        </xdr:cNvPr>
        <xdr:cNvSpPr txBox="1"/>
      </xdr:nvSpPr>
      <xdr:spPr>
        <a:xfrm>
          <a:off x="2197100" y="3314700"/>
          <a:ext cx="12700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Down">
            <a:avLst/>
          </a:prstTxWarp>
        </a:bodyPr>
        <a:lstStyle/>
        <a:p>
          <a:pPr algn="ctr"/>
          <a:r>
            <a:rPr lang="en-IN" sz="1100" b="1">
              <a:solidFill>
                <a:schemeClr val="bg1"/>
              </a:solidFill>
              <a:latin typeface="Abadi" panose="020B0604020104020204" pitchFamily="34" charset="0"/>
            </a:rPr>
            <a:t>AMIT SHARMA</a:t>
          </a:r>
        </a:p>
      </xdr:txBody>
    </xdr:sp>
    <xdr:clientData/>
  </xdr:twoCellAnchor>
  <xdr:twoCellAnchor>
    <xdr:from>
      <xdr:col>6</xdr:col>
      <xdr:colOff>361950</xdr:colOff>
      <xdr:row>17</xdr:row>
      <xdr:rowOff>82550</xdr:rowOff>
    </xdr:from>
    <xdr:to>
      <xdr:col>8</xdr:col>
      <xdr:colOff>336550</xdr:colOff>
      <xdr:row>20</xdr:row>
      <xdr:rowOff>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A06D01E6-C821-449B-B060-372BDD6AF292}"/>
            </a:ext>
          </a:extLst>
        </xdr:cNvPr>
        <xdr:cNvSpPr txBox="1"/>
      </xdr:nvSpPr>
      <xdr:spPr>
        <a:xfrm>
          <a:off x="4133850" y="3321050"/>
          <a:ext cx="12700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Down">
            <a:avLst/>
          </a:prstTxWarp>
        </a:bodyPr>
        <a:lstStyle/>
        <a:p>
          <a:pPr algn="ctr"/>
          <a:r>
            <a:rPr lang="en-IN" sz="1100" b="1">
              <a:solidFill>
                <a:schemeClr val="bg1"/>
              </a:solidFill>
              <a:latin typeface="Abadi" panose="020B0604020104020204" pitchFamily="34" charset="0"/>
            </a:rPr>
            <a:t>RITU SINGH</a:t>
          </a:r>
        </a:p>
      </xdr:txBody>
    </xdr:sp>
    <xdr:clientData/>
  </xdr:twoCellAnchor>
  <xdr:twoCellAnchor>
    <xdr:from>
      <xdr:col>9</xdr:col>
      <xdr:colOff>336550</xdr:colOff>
      <xdr:row>17</xdr:row>
      <xdr:rowOff>88900</xdr:rowOff>
    </xdr:from>
    <xdr:to>
      <xdr:col>11</xdr:col>
      <xdr:colOff>311150</xdr:colOff>
      <xdr:row>20</xdr:row>
      <xdr:rowOff>6350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91E6CEBF-8B2D-4451-94C0-A56B08D9C1B2}"/>
            </a:ext>
          </a:extLst>
        </xdr:cNvPr>
        <xdr:cNvSpPr txBox="1"/>
      </xdr:nvSpPr>
      <xdr:spPr>
        <a:xfrm>
          <a:off x="6051550" y="3327400"/>
          <a:ext cx="12700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Down">
            <a:avLst/>
          </a:prstTxWarp>
        </a:bodyPr>
        <a:lstStyle/>
        <a:p>
          <a:pPr algn="ctr"/>
          <a:r>
            <a:rPr lang="en-IN" sz="1100" b="1">
              <a:solidFill>
                <a:schemeClr val="bg1"/>
              </a:solidFill>
              <a:latin typeface="Abadi" panose="020B0604020104020204" pitchFamily="34" charset="0"/>
            </a:rPr>
            <a:t>RAKESH VERMA</a:t>
          </a:r>
        </a:p>
      </xdr:txBody>
    </xdr:sp>
    <xdr:clientData/>
  </xdr:twoCellAnchor>
  <xdr:twoCellAnchor>
    <xdr:from>
      <xdr:col>12</xdr:col>
      <xdr:colOff>298450</xdr:colOff>
      <xdr:row>17</xdr:row>
      <xdr:rowOff>82550</xdr:rowOff>
    </xdr:from>
    <xdr:to>
      <xdr:col>14</xdr:col>
      <xdr:colOff>273050</xdr:colOff>
      <xdr:row>20</xdr:row>
      <xdr:rowOff>0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F864BE44-58D1-4F90-93F1-719E96106C3B}"/>
            </a:ext>
          </a:extLst>
        </xdr:cNvPr>
        <xdr:cNvSpPr txBox="1"/>
      </xdr:nvSpPr>
      <xdr:spPr>
        <a:xfrm>
          <a:off x="7956550" y="3321050"/>
          <a:ext cx="1270000" cy="46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prstTxWarp prst="textArchDown">
            <a:avLst/>
          </a:prstTxWarp>
        </a:bodyPr>
        <a:lstStyle/>
        <a:p>
          <a:pPr algn="ctr"/>
          <a:r>
            <a:rPr lang="en-IN" sz="1100" b="1">
              <a:solidFill>
                <a:schemeClr val="bg1"/>
              </a:solidFill>
              <a:latin typeface="Abadi" panose="020B0604020104020204" pitchFamily="34" charset="0"/>
            </a:rPr>
            <a:t>MANISH</a:t>
          </a:r>
          <a:r>
            <a:rPr lang="en-IN" sz="1100" b="1" baseline="0">
              <a:solidFill>
                <a:schemeClr val="bg1"/>
              </a:solidFill>
              <a:latin typeface="Abadi" panose="020B0604020104020204" pitchFamily="34" charset="0"/>
            </a:rPr>
            <a:t> MITTAL</a:t>
          </a:r>
          <a:endParaRPr lang="en-IN" sz="1100" b="1">
            <a:solidFill>
              <a:schemeClr val="bg1"/>
            </a:solidFill>
            <a:latin typeface="Abadi" panose="020B0604020104020204" pitchFamily="34" charset="0"/>
          </a:endParaRPr>
        </a:p>
      </xdr:txBody>
    </xdr:sp>
    <xdr:clientData/>
  </xdr:twoCellAnchor>
  <xdr:twoCellAnchor>
    <xdr:from>
      <xdr:col>3</xdr:col>
      <xdr:colOff>285750</xdr:colOff>
      <xdr:row>3</xdr:row>
      <xdr:rowOff>50800</xdr:rowOff>
    </xdr:from>
    <xdr:to>
      <xdr:col>14</xdr:col>
      <xdr:colOff>374650</xdr:colOff>
      <xdr:row>4</xdr:row>
      <xdr:rowOff>146050</xdr:rowOff>
    </xdr:to>
    <xdr:sp macro="" textlink="Calculation!E2">
      <xdr:nvSpPr>
        <xdr:cNvPr id="54" name="TextBox 53">
          <a:extLst>
            <a:ext uri="{FF2B5EF4-FFF2-40B4-BE49-F238E27FC236}">
              <a16:creationId xmlns:a16="http://schemas.microsoft.com/office/drawing/2014/main" id="{7A680DC8-658A-49F8-A306-F5A506246D0C}"/>
            </a:ext>
          </a:extLst>
        </xdr:cNvPr>
        <xdr:cNvSpPr txBox="1"/>
      </xdr:nvSpPr>
      <xdr:spPr>
        <a:xfrm>
          <a:off x="2114550" y="711200"/>
          <a:ext cx="7213600" cy="279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3895BB-9ED1-4A03-B508-BEED61CF2A76}" type="TxLink">
            <a:rPr lang="en-US" sz="1400" b="1" i="0" u="none" strike="noStrike">
              <a:solidFill>
                <a:srgbClr val="000000"/>
              </a:solidFill>
              <a:latin typeface="Adobe Gothic Std B" panose="020B0800000000000000" pitchFamily="34" charset="-128"/>
              <a:ea typeface="Adobe Gothic Std B" panose="020B0800000000000000" pitchFamily="34" charset="-128"/>
              <a:cs typeface="Calibri"/>
            </a:rPr>
            <a:pPr algn="ctr"/>
            <a:t>Performance Dashboard for the month of JAN</a:t>
          </a:fld>
          <a:endParaRPr lang="en-IN" sz="1400" b="1">
            <a:latin typeface="Adobe Gothic Std B" panose="020B0800000000000000" pitchFamily="34" charset="-128"/>
            <a:ea typeface="Adobe Gothic Std B" panose="020B0800000000000000" pitchFamily="34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39705F-9FB8-4E2D-AE6B-872B0DF5F799}">
  <sheetPr codeName="Sheet1"/>
  <dimension ref="B1:N6"/>
  <sheetViews>
    <sheetView showGridLines="0" workbookViewId="0">
      <selection activeCell="C4" sqref="C4"/>
    </sheetView>
  </sheetViews>
  <sheetFormatPr defaultColWidth="8.7109375" defaultRowHeight="14.25"/>
  <cols>
    <col min="1" max="1" width="2.5703125" style="1" customWidth="1"/>
    <col min="2" max="2" width="17" style="1" customWidth="1"/>
    <col min="3" max="14" width="8.7109375" style="2" customWidth="1"/>
    <col min="15" max="16384" width="8.7109375" style="1"/>
  </cols>
  <sheetData>
    <row r="1" spans="2:14" ht="9.9499999999999993" customHeight="1"/>
    <row r="2" spans="2:14" ht="20.45" customHeight="1">
      <c r="B2" s="5" t="s">
        <v>16</v>
      </c>
      <c r="C2" s="6" t="s">
        <v>4</v>
      </c>
      <c r="D2" s="6" t="s">
        <v>5</v>
      </c>
      <c r="E2" s="6" t="s">
        <v>6</v>
      </c>
      <c r="F2" s="6" t="s">
        <v>7</v>
      </c>
      <c r="G2" s="6" t="s">
        <v>3</v>
      </c>
      <c r="H2" s="6" t="s">
        <v>8</v>
      </c>
      <c r="I2" s="6" t="s">
        <v>9</v>
      </c>
      <c r="J2" s="6" t="s">
        <v>10</v>
      </c>
      <c r="K2" s="6" t="s">
        <v>11</v>
      </c>
      <c r="L2" s="6" t="s">
        <v>12</v>
      </c>
      <c r="M2" s="6" t="s">
        <v>13</v>
      </c>
      <c r="N2" s="6" t="s">
        <v>14</v>
      </c>
    </row>
    <row r="3" spans="2:14" ht="21.95" customHeight="1">
      <c r="B3" s="3" t="s">
        <v>0</v>
      </c>
      <c r="C3" s="4">
        <f ca="1">RANDBETWEEN(10,99)%</f>
        <v>0.41</v>
      </c>
      <c r="D3" s="4">
        <f t="shared" ref="D3:N6" ca="1" si="0">RANDBETWEEN(10,99)%</f>
        <v>0.52</v>
      </c>
      <c r="E3" s="4">
        <f t="shared" ca="1" si="0"/>
        <v>0.56000000000000005</v>
      </c>
      <c r="F3" s="4">
        <f t="shared" ca="1" si="0"/>
        <v>0.48</v>
      </c>
      <c r="G3" s="4">
        <f t="shared" ca="1" si="0"/>
        <v>0.89</v>
      </c>
      <c r="H3" s="4">
        <f t="shared" ca="1" si="0"/>
        <v>0.93</v>
      </c>
      <c r="I3" s="4">
        <f t="shared" ca="1" si="0"/>
        <v>0.53</v>
      </c>
      <c r="J3" s="4">
        <f t="shared" ca="1" si="0"/>
        <v>0.75</v>
      </c>
      <c r="K3" s="4">
        <f t="shared" ca="1" si="0"/>
        <v>0.86</v>
      </c>
      <c r="L3" s="4">
        <f t="shared" ca="1" si="0"/>
        <v>0.73</v>
      </c>
      <c r="M3" s="4">
        <f t="shared" ca="1" si="0"/>
        <v>0.25</v>
      </c>
      <c r="N3" s="4">
        <f t="shared" ca="1" si="0"/>
        <v>0.16</v>
      </c>
    </row>
    <row r="4" spans="2:14" ht="21.95" customHeight="1">
      <c r="B4" s="3" t="s">
        <v>1</v>
      </c>
      <c r="C4" s="4">
        <f t="shared" ref="C4:C6" ca="1" si="1">RANDBETWEEN(10,99)%</f>
        <v>0.99</v>
      </c>
      <c r="D4" s="4">
        <f t="shared" ca="1" si="0"/>
        <v>0.72</v>
      </c>
      <c r="E4" s="4">
        <f t="shared" ca="1" si="0"/>
        <v>0.84</v>
      </c>
      <c r="F4" s="4">
        <f t="shared" ca="1" si="0"/>
        <v>0.81</v>
      </c>
      <c r="G4" s="4">
        <f t="shared" ca="1" si="0"/>
        <v>0.92</v>
      </c>
      <c r="H4" s="4">
        <f t="shared" ca="1" si="0"/>
        <v>0.3</v>
      </c>
      <c r="I4" s="4">
        <f t="shared" ca="1" si="0"/>
        <v>0.17</v>
      </c>
      <c r="J4" s="4">
        <f t="shared" ca="1" si="0"/>
        <v>0.34</v>
      </c>
      <c r="K4" s="4">
        <f t="shared" ca="1" si="0"/>
        <v>0.67</v>
      </c>
      <c r="L4" s="4">
        <f t="shared" ca="1" si="0"/>
        <v>0.76</v>
      </c>
      <c r="M4" s="4">
        <f t="shared" ca="1" si="0"/>
        <v>0.51</v>
      </c>
      <c r="N4" s="4">
        <f t="shared" ca="1" si="0"/>
        <v>0.68</v>
      </c>
    </row>
    <row r="5" spans="2:14" ht="21.95" customHeight="1">
      <c r="B5" s="3" t="s">
        <v>2</v>
      </c>
      <c r="C5" s="4">
        <f t="shared" ca="1" si="1"/>
        <v>0.44</v>
      </c>
      <c r="D5" s="4">
        <f t="shared" ca="1" si="0"/>
        <v>0.35</v>
      </c>
      <c r="E5" s="4">
        <f t="shared" ca="1" si="0"/>
        <v>0.41</v>
      </c>
      <c r="F5" s="4">
        <f t="shared" ca="1" si="0"/>
        <v>0.16</v>
      </c>
      <c r="G5" s="4">
        <f t="shared" ca="1" si="0"/>
        <v>0.26</v>
      </c>
      <c r="H5" s="4">
        <f t="shared" ca="1" si="0"/>
        <v>0.28999999999999998</v>
      </c>
      <c r="I5" s="4">
        <f t="shared" ca="1" si="0"/>
        <v>0.4</v>
      </c>
      <c r="J5" s="4">
        <f t="shared" ca="1" si="0"/>
        <v>0.91</v>
      </c>
      <c r="K5" s="4">
        <f t="shared" ca="1" si="0"/>
        <v>0.27</v>
      </c>
      <c r="L5" s="4">
        <f t="shared" ca="1" si="0"/>
        <v>0.54</v>
      </c>
      <c r="M5" s="4">
        <f t="shared" ca="1" si="0"/>
        <v>0.99</v>
      </c>
      <c r="N5" s="4">
        <f t="shared" ca="1" si="0"/>
        <v>0.66</v>
      </c>
    </row>
    <row r="6" spans="2:14" ht="21.95" customHeight="1">
      <c r="B6" s="3" t="s">
        <v>15</v>
      </c>
      <c r="C6" s="4">
        <f t="shared" ca="1" si="1"/>
        <v>0.56000000000000005</v>
      </c>
      <c r="D6" s="4">
        <f t="shared" ca="1" si="0"/>
        <v>0.54</v>
      </c>
      <c r="E6" s="4">
        <f t="shared" ca="1" si="0"/>
        <v>0.52</v>
      </c>
      <c r="F6" s="4">
        <f t="shared" ca="1" si="0"/>
        <v>0.34</v>
      </c>
      <c r="G6" s="4">
        <f t="shared" ca="1" si="0"/>
        <v>0.64</v>
      </c>
      <c r="H6" s="4">
        <f t="shared" ca="1" si="0"/>
        <v>0.51</v>
      </c>
      <c r="I6" s="4">
        <f t="shared" ca="1" si="0"/>
        <v>0.57999999999999996</v>
      </c>
      <c r="J6" s="4">
        <f t="shared" ca="1" si="0"/>
        <v>0.19</v>
      </c>
      <c r="K6" s="4">
        <f t="shared" ca="1" si="0"/>
        <v>0.26</v>
      </c>
      <c r="L6" s="4">
        <f t="shared" ca="1" si="0"/>
        <v>0.97</v>
      </c>
      <c r="M6" s="4">
        <f t="shared" ca="1" si="0"/>
        <v>0.5</v>
      </c>
      <c r="N6" s="4">
        <f t="shared" ca="1" si="0"/>
        <v>0.96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31BE9C-618B-4D4B-BFA7-2E6C0A2BBEF8}">
  <sheetPr codeName="Sheet2"/>
  <dimension ref="A1:E7"/>
  <sheetViews>
    <sheetView showGridLines="0" workbookViewId="0"/>
  </sheetViews>
  <sheetFormatPr defaultRowHeight="15"/>
  <cols>
    <col min="1" max="1" width="18.5703125" customWidth="1"/>
    <col min="2" max="2" width="16.7109375" customWidth="1"/>
    <col min="3" max="3" width="18.5703125" customWidth="1"/>
    <col min="5" max="7" width="27.42578125" customWidth="1"/>
  </cols>
  <sheetData>
    <row r="1" spans="1:5">
      <c r="A1" s="5" t="s">
        <v>16</v>
      </c>
      <c r="B1" s="6" t="s">
        <v>18</v>
      </c>
      <c r="C1" s="5" t="s">
        <v>17</v>
      </c>
    </row>
    <row r="2" spans="1:5">
      <c r="A2" s="3" t="s">
        <v>0</v>
      </c>
      <c r="B2" s="4">
        <f ca="1">VLOOKUP(A2,Score!$B$2:$N$6,MATCH($B$1,Score!$B$2:$N$2,0),0)</f>
        <v>0.41</v>
      </c>
      <c r="C2" s="3" t="str">
        <f ca="1">IF(B2&gt;=80%,"Green",IF(B2&gt;=60%,"Yellow","Red"))</f>
        <v>Red</v>
      </c>
      <c r="E2" t="str">
        <f>"Performance Dashboard for the month of "&amp;B1</f>
        <v>Performance Dashboard for the month of JAN</v>
      </c>
    </row>
    <row r="3" spans="1:5">
      <c r="A3" s="3" t="s">
        <v>1</v>
      </c>
      <c r="B3" s="4">
        <f ca="1">VLOOKUP(A3,Score!$B$2:$N$6,MATCH($B$1,Score!$B$2:$N$2,0),0)</f>
        <v>0.99</v>
      </c>
      <c r="C3" s="3" t="str">
        <f t="shared" ref="C3:C5" ca="1" si="0">IF(B3&gt;=80%,"Green",IF(B3&gt;=60%,"Yellow","Red"))</f>
        <v>Green</v>
      </c>
    </row>
    <row r="4" spans="1:5">
      <c r="A4" s="3" t="s">
        <v>2</v>
      </c>
      <c r="B4" s="4">
        <f ca="1">VLOOKUP(A4,Score!$B$2:$N$6,MATCH($B$1,Score!$B$2:$N$2,0),0)</f>
        <v>0.44</v>
      </c>
      <c r="C4" s="3" t="str">
        <f t="shared" ca="1" si="0"/>
        <v>Red</v>
      </c>
    </row>
    <row r="5" spans="1:5">
      <c r="A5" s="3" t="s">
        <v>15</v>
      </c>
      <c r="B5" s="4">
        <f ca="1">VLOOKUP(A5,Score!$B$2:$N$6,MATCH($B$1,Score!$B$2:$N$2,0),0)</f>
        <v>0.56000000000000005</v>
      </c>
      <c r="C5" s="3" t="str">
        <f t="shared" ca="1" si="0"/>
        <v>Red</v>
      </c>
    </row>
    <row r="7" spans="1:5" ht="176.45" customHeight="1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DBC0F-E9D6-4EC8-AC40-9490444F119F}">
  <sheetPr codeName="Sheet3"/>
  <dimension ref="D2:O2"/>
  <sheetViews>
    <sheetView showGridLines="0" showRowColHeaders="0" tabSelected="1" workbookViewId="0">
      <selection activeCell="D2" sqref="D2"/>
    </sheetView>
  </sheetViews>
  <sheetFormatPr defaultRowHeight="15"/>
  <cols>
    <col min="4" max="15" width="9.28515625" customWidth="1"/>
  </cols>
  <sheetData>
    <row r="2" spans="4:15" ht="23.1" customHeight="1">
      <c r="D2" s="7" t="s">
        <v>18</v>
      </c>
      <c r="E2" s="7" t="s">
        <v>19</v>
      </c>
      <c r="F2" s="7" t="s">
        <v>20</v>
      </c>
      <c r="G2" s="7" t="s">
        <v>21</v>
      </c>
      <c r="H2" s="7" t="s">
        <v>22</v>
      </c>
      <c r="I2" s="7" t="s">
        <v>23</v>
      </c>
      <c r="J2" s="7" t="s">
        <v>24</v>
      </c>
      <c r="K2" s="7" t="s">
        <v>25</v>
      </c>
      <c r="L2" s="7" t="s">
        <v>26</v>
      </c>
      <c r="M2" s="7" t="s">
        <v>27</v>
      </c>
      <c r="N2" s="7" t="s">
        <v>28</v>
      </c>
      <c r="O2" s="7" t="s">
        <v>29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0D09E847-4681-439B-9E76-F25717B10A4F}">
            <xm:f>D$2=Calculation!$B$1</xm:f>
            <x14:dxf>
              <fill>
                <patternFill>
                  <bgColor rgb="FFFF0000"/>
                </patternFill>
              </fill>
            </x14:dxf>
          </x14:cfRule>
          <xm:sqref>D2:O2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Score</vt:lpstr>
      <vt:lpstr>Calculation</vt:lpstr>
      <vt:lpstr>Dashboard</vt:lpstr>
      <vt:lpstr>Green</vt:lpstr>
      <vt:lpstr>Red</vt:lpstr>
      <vt:lpstr>Yellow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Vivekananda Sinha</dc:creator>
  <cp:lastModifiedBy>DELL</cp:lastModifiedBy>
  <dcterms:created xsi:type="dcterms:W3CDTF">2021-10-29T18:07:14Z</dcterms:created>
  <dcterms:modified xsi:type="dcterms:W3CDTF">2023-03-06T10:57:43Z</dcterms:modified>
</cp:coreProperties>
</file>